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zik\OneDrive\Desktop\"/>
    </mc:Choice>
  </mc:AlternateContent>
  <xr:revisionPtr revIDLastSave="0" documentId="8_{6E0A2F39-09EF-47BF-848C-475C85C49095}" xr6:coauthVersionLast="47" xr6:coauthVersionMax="47" xr10:uidLastSave="{00000000-0000-0000-0000-000000000000}"/>
  <bookViews>
    <workbookView xWindow="-103" yWindow="-103" windowWidth="22149" windowHeight="13200" activeTab="1" xr2:uid="{BF3CC5C2-A3A5-4342-AC90-8EE389FBB45B}"/>
  </bookViews>
  <sheets>
    <sheet name="Form" sheetId="1" r:id="rId1"/>
    <sheet name="Dashboard" sheetId="2" r:id="rId2"/>
    <sheet name="Data" sheetId="3" r:id="rId3"/>
  </sheets>
  <definedNames>
    <definedName name="age">#REF!</definedName>
    <definedName name="count">#REF!</definedName>
    <definedName name="wor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" l="1"/>
  <c r="E25" i="1"/>
  <c r="E24" i="1"/>
  <c r="E23" i="1"/>
  <c r="E22" i="1"/>
  <c r="E21" i="1"/>
  <c r="E20" i="1"/>
  <c r="E19" i="1"/>
  <c r="D26" i="1"/>
  <c r="D25" i="1"/>
  <c r="D24" i="1"/>
  <c r="D23" i="1"/>
  <c r="D22" i="1"/>
  <c r="D21" i="1"/>
  <c r="D20" i="1"/>
  <c r="D19" i="1"/>
  <c r="I5" i="2"/>
  <c r="H5" i="2"/>
  <c r="F5" i="2"/>
  <c r="D5" i="2"/>
  <c r="B5" i="2"/>
  <c r="G5" i="2"/>
  <c r="E5" i="2"/>
</calcChain>
</file>

<file path=xl/sharedStrings.xml><?xml version="1.0" encoding="utf-8"?>
<sst xmlns="http://schemas.openxmlformats.org/spreadsheetml/2006/main" count="106" uniqueCount="64">
  <si>
    <t>First Name</t>
  </si>
  <si>
    <t>Last Name</t>
  </si>
  <si>
    <t>DOB</t>
  </si>
  <si>
    <t>Email</t>
  </si>
  <si>
    <t>Department</t>
  </si>
  <si>
    <t>Role</t>
  </si>
  <si>
    <t>Gender</t>
  </si>
  <si>
    <t>Mike</t>
  </si>
  <si>
    <t>Lee</t>
  </si>
  <si>
    <t>mike.lee@gmail.com</t>
  </si>
  <si>
    <t>Sales</t>
  </si>
  <si>
    <t>Finance</t>
  </si>
  <si>
    <t>Marketing</t>
  </si>
  <si>
    <t>Executive</t>
  </si>
  <si>
    <t>CEO</t>
  </si>
  <si>
    <t>CMO</t>
  </si>
  <si>
    <t>CFO</t>
  </si>
  <si>
    <t>CTO</t>
  </si>
  <si>
    <t>COO</t>
  </si>
  <si>
    <t>Director</t>
  </si>
  <si>
    <t>VP</t>
  </si>
  <si>
    <t>Manager</t>
  </si>
  <si>
    <t>Specialist</t>
  </si>
  <si>
    <t>Intern</t>
  </si>
  <si>
    <t>Associate</t>
  </si>
  <si>
    <t>Analyst</t>
  </si>
  <si>
    <t>Partner</t>
  </si>
  <si>
    <t>First Name:</t>
  </si>
  <si>
    <t>Last Name:</t>
  </si>
  <si>
    <t>Email:</t>
  </si>
  <si>
    <t>Department:</t>
  </si>
  <si>
    <t>Role:</t>
  </si>
  <si>
    <t>Gender:</t>
  </si>
  <si>
    <t>Male</t>
  </si>
  <si>
    <t>Female</t>
  </si>
  <si>
    <t>Other</t>
  </si>
  <si>
    <t>Ana</t>
  </si>
  <si>
    <t>Haily</t>
  </si>
  <si>
    <t>ana.haily@gmail.com</t>
  </si>
  <si>
    <t>Annual Salary:</t>
  </si>
  <si>
    <t>DOB (DD-MM-YY):</t>
  </si>
  <si>
    <t>Annual Salary</t>
  </si>
  <si>
    <t xml:space="preserve"> Employee Registration</t>
  </si>
  <si>
    <t>sam</t>
  </si>
  <si>
    <t>wong</t>
  </si>
  <si>
    <t>sam.wong@gmail.com</t>
  </si>
  <si>
    <t>21/121989</t>
  </si>
  <si>
    <t>Razi</t>
  </si>
  <si>
    <t>Kazmi</t>
  </si>
  <si>
    <t>razi@gmail.com</t>
  </si>
  <si>
    <t>Abul</t>
  </si>
  <si>
    <t>Saad</t>
  </si>
  <si>
    <t>Abul@gmail.com</t>
  </si>
  <si>
    <t>Khushi</t>
  </si>
  <si>
    <t>Rana</t>
  </si>
  <si>
    <t>khushi@gmail.com</t>
  </si>
  <si>
    <t>Jiya</t>
  </si>
  <si>
    <t>jiya@gmail.com</t>
  </si>
  <si>
    <t>abul</t>
  </si>
  <si>
    <t>saad</t>
  </si>
  <si>
    <t>saad@gmail.com</t>
  </si>
  <si>
    <t>Shiri</t>
  </si>
  <si>
    <t>Fatma</t>
  </si>
  <si>
    <t>Ftma@gamil.com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</si>
</sst>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1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theme="0"/>
      <name val="Aptos Narrow"/>
      <scheme val="minor"/>
    </font>
    <font>
      <b/>
      <sz val="20"/>
      <color theme="0"/>
      <name val="Aptos Narrow"/>
      <scheme val="minor"/>
    </font>
    <font>
      <b/>
      <sz val="26"/>
      <color theme="0"/>
      <name val="Aptos Narrow"/>
      <scheme val="minor"/>
    </font>
    <font>
      <sz val="12"/>
      <color theme="0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i/>
      <sz val="11"/>
      <color theme="6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8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0" xfId="0" applyFill="1" applyAlignment="1">
      <alignment horizontal="right"/>
    </xf>
    <xf numFmtId="0" fontId="0" fillId="2" borderId="7" xfId="0" applyFill="1" applyBorder="1"/>
    <xf numFmtId="0" fontId="0" fillId="2" borderId="9" xfId="0" applyFill="1" applyBorder="1"/>
    <xf numFmtId="0" fontId="3" fillId="2" borderId="0" xfId="0" applyFont="1" applyFill="1" applyAlignment="1">
      <alignment horizontal="right"/>
    </xf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0" fillId="4" borderId="6" xfId="0" applyFill="1" applyBorder="1"/>
    <xf numFmtId="0" fontId="5" fillId="4" borderId="0" xfId="0" applyFont="1" applyFill="1"/>
    <xf numFmtId="0" fontId="4" fillId="4" borderId="0" xfId="0" applyFont="1" applyFill="1" applyAlignment="1">
      <alignment horizontal="center"/>
    </xf>
    <xf numFmtId="14" fontId="0" fillId="0" borderId="0" xfId="0" applyNumberFormat="1"/>
    <xf numFmtId="3" fontId="0" fillId="0" borderId="0" xfId="0" applyNumberFormat="1"/>
    <xf numFmtId="0" fontId="6" fillId="4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2" fillId="4" borderId="0" xfId="0" applyFont="1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7" fillId="0" borderId="0" xfId="0" applyFont="1"/>
    <xf numFmtId="165" fontId="7" fillId="0" borderId="0" xfId="1" applyNumberFormat="1" applyFont="1"/>
    <xf numFmtId="2" fontId="7" fillId="0" borderId="0" xfId="0" applyNumberFormat="1" applyFont="1"/>
    <xf numFmtId="14" fontId="0" fillId="3" borderId="1" xfId="0" applyNumberFormat="1" applyFill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0" fontId="8" fillId="3" borderId="1" xfId="2" applyFill="1" applyBorder="1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9" fillId="2" borderId="8" xfId="0" applyFont="1" applyFill="1" applyBorder="1" applyAlignment="1">
      <alignment horizontal="center"/>
    </xf>
  </cellXfs>
  <cellStyles count="5">
    <cellStyle name="Comma" xfId="1" builtinId="3"/>
    <cellStyle name="Hyperlink" xfId="2" builtinId="8"/>
    <cellStyle name="Hyperlink 2" xfId="4" xr:uid="{093F81E5-9662-984B-8304-0ACF3EFD771C}"/>
    <cellStyle name="Normal" xfId="0" builtinId="0"/>
    <cellStyle name="Normal 2 2" xfId="3" xr:uid="{E21D4C46-EAC9-CA4E-8057-570047EDC636}"/>
  </cellStyles>
  <dxfs count="2">
    <dxf>
      <numFmt numFmtId="166" formatCode="d/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scheme val="minor"/>
      </font>
      <fill>
        <patternFill patternType="solid">
          <fgColor indexed="64"/>
          <bgColor theme="6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736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736880</xdr:colOff>
      <xdr:row>1</xdr:row>
      <xdr:rowOff>116123</xdr:rowOff>
    </xdr:from>
    <xdr:to>
      <xdr:col>7</xdr:col>
      <xdr:colOff>271501</xdr:colOff>
      <xdr:row>3</xdr:row>
      <xdr:rowOff>31198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856BAE2-7304-3640-7454-787C42811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0480" y="319323"/>
          <a:ext cx="1180541" cy="555155"/>
        </a:xfrm>
        <a:prstGeom prst="rect">
          <a:avLst/>
        </a:prstGeom>
      </xdr:spPr>
    </xdr:pic>
    <xdr:clientData/>
  </xdr:twoCellAnchor>
  <xdr:twoCellAnchor>
    <xdr:from>
      <xdr:col>3</xdr:col>
      <xdr:colOff>653143</xdr:colOff>
      <xdr:row>13</xdr:row>
      <xdr:rowOff>74023</xdr:rowOff>
    </xdr:from>
    <xdr:to>
      <xdr:col>5</xdr:col>
      <xdr:colOff>487680</xdr:colOff>
      <xdr:row>14</xdr:row>
      <xdr:rowOff>174171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511680B9-C176-95D3-8A9C-E8ECD63F4B9E}"/>
            </a:ext>
          </a:extLst>
        </xdr:cNvPr>
        <xdr:cNvSpPr/>
      </xdr:nvSpPr>
      <xdr:spPr>
        <a:xfrm>
          <a:off x="2843349" y="2917372"/>
          <a:ext cx="1510937" cy="30044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/>
            <a:t>Submit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192098</xdr:rowOff>
    </xdr:from>
    <xdr:to>
      <xdr:col>2</xdr:col>
      <xdr:colOff>493059</xdr:colOff>
      <xdr:row>4</xdr:row>
      <xdr:rowOff>25612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5ED825F-98D0-8254-031B-741402BE5BCE}"/>
            </a:ext>
          </a:extLst>
        </xdr:cNvPr>
        <xdr:cNvSpPr/>
      </xdr:nvSpPr>
      <xdr:spPr>
        <a:xfrm>
          <a:off x="454639" y="192098"/>
          <a:ext cx="1370319" cy="627530"/>
        </a:xfrm>
        <a:prstGeom prst="rect">
          <a:avLst/>
        </a:prstGeom>
        <a:solidFill>
          <a:schemeClr val="accent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25613</xdr:colOff>
      <xdr:row>1</xdr:row>
      <xdr:rowOff>19209</xdr:rowOff>
    </xdr:from>
    <xdr:to>
      <xdr:col>2</xdr:col>
      <xdr:colOff>435428</xdr:colOff>
      <xdr:row>2</xdr:row>
      <xdr:rowOff>76841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E9D7B3F-0E7F-ADF9-0EEE-6D10ED294B72}"/>
            </a:ext>
          </a:extLst>
        </xdr:cNvPr>
        <xdr:cNvSpPr txBox="1"/>
      </xdr:nvSpPr>
      <xdr:spPr>
        <a:xfrm>
          <a:off x="480252" y="217714"/>
          <a:ext cx="1287075" cy="2561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200" b="1">
              <a:solidFill>
                <a:schemeClr val="bg1"/>
              </a:solidFill>
            </a:rPr>
            <a:t>Employee</a:t>
          </a:r>
          <a:r>
            <a:rPr lang="en-IN" sz="1200" b="1" baseline="0">
              <a:solidFill>
                <a:schemeClr val="bg1"/>
              </a:solidFill>
            </a:rPr>
            <a:t> Count</a:t>
          </a:r>
          <a:endParaRPr lang="en-IN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633933</xdr:colOff>
      <xdr:row>0</xdr:row>
      <xdr:rowOff>192101</xdr:rowOff>
    </xdr:from>
    <xdr:to>
      <xdr:col>4</xdr:col>
      <xdr:colOff>147277</xdr:colOff>
      <xdr:row>4</xdr:row>
      <xdr:rowOff>38421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DC37C50-95F7-5DD2-108F-F7FEB2EE19CC}"/>
            </a:ext>
          </a:extLst>
        </xdr:cNvPr>
        <xdr:cNvSpPr/>
      </xdr:nvSpPr>
      <xdr:spPr>
        <a:xfrm>
          <a:off x="1965832" y="192101"/>
          <a:ext cx="1191025" cy="640336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320167</xdr:colOff>
      <xdr:row>0</xdr:row>
      <xdr:rowOff>192101</xdr:rowOff>
    </xdr:from>
    <xdr:to>
      <xdr:col>5</xdr:col>
      <xdr:colOff>557092</xdr:colOff>
      <xdr:row>4</xdr:row>
      <xdr:rowOff>51228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34BF94D-43C0-487B-B2C7-2C9D4CC9049C}"/>
            </a:ext>
          </a:extLst>
        </xdr:cNvPr>
        <xdr:cNvSpPr/>
      </xdr:nvSpPr>
      <xdr:spPr>
        <a:xfrm>
          <a:off x="3329747" y="192101"/>
          <a:ext cx="1178219" cy="65314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768403</xdr:colOff>
      <xdr:row>0</xdr:row>
      <xdr:rowOff>179294</xdr:rowOff>
    </xdr:from>
    <xdr:to>
      <xdr:col>7</xdr:col>
      <xdr:colOff>230520</xdr:colOff>
      <xdr:row>4</xdr:row>
      <xdr:rowOff>25614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3AC4A08-9C3D-CA5D-D849-38E2210D3861}"/>
            </a:ext>
          </a:extLst>
        </xdr:cNvPr>
        <xdr:cNvSpPr/>
      </xdr:nvSpPr>
      <xdr:spPr>
        <a:xfrm>
          <a:off x="4719277" y="179294"/>
          <a:ext cx="1114184" cy="640336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518672</xdr:colOff>
      <xdr:row>0</xdr:row>
      <xdr:rowOff>166487</xdr:rowOff>
    </xdr:from>
    <xdr:to>
      <xdr:col>8</xdr:col>
      <xdr:colOff>819629</xdr:colOff>
      <xdr:row>4</xdr:row>
      <xdr:rowOff>25614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60E6C8F1-3EDB-D715-92E9-22A17139BEC3}"/>
            </a:ext>
          </a:extLst>
        </xdr:cNvPr>
        <xdr:cNvSpPr/>
      </xdr:nvSpPr>
      <xdr:spPr>
        <a:xfrm>
          <a:off x="6121613" y="166487"/>
          <a:ext cx="1126991" cy="65314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38420</xdr:colOff>
      <xdr:row>2</xdr:row>
      <xdr:rowOff>102454</xdr:rowOff>
    </xdr:from>
    <xdr:to>
      <xdr:col>2</xdr:col>
      <xdr:colOff>448235</xdr:colOff>
      <xdr:row>3</xdr:row>
      <xdr:rowOff>185696</xdr:rowOff>
    </xdr:to>
    <xdr:sp macro="" textlink="$B$5">
      <xdr:nvSpPr>
        <xdr:cNvPr id="10" name="TextBox 9">
          <a:extLst>
            <a:ext uri="{FF2B5EF4-FFF2-40B4-BE49-F238E27FC236}">
              <a16:creationId xmlns:a16="http://schemas.microsoft.com/office/drawing/2014/main" id="{8D187C55-E27B-48A5-4746-12B113449FD2}"/>
            </a:ext>
          </a:extLst>
        </xdr:cNvPr>
        <xdr:cNvSpPr txBox="1"/>
      </xdr:nvSpPr>
      <xdr:spPr>
        <a:xfrm>
          <a:off x="493059" y="499462"/>
          <a:ext cx="1287075" cy="2817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954298BF-5E87-4EDA-B359-A86F2D155B00}" type="TxLink">
            <a:rPr lang="en-US" sz="1200" b="0" i="0" u="none" strike="noStrike">
              <a:solidFill>
                <a:srgbClr val="000000"/>
              </a:solidFill>
              <a:latin typeface="Aptos Narrow"/>
            </a:rPr>
            <a:pPr algn="ctr"/>
            <a:t>10</a:t>
          </a:fld>
          <a:endParaRPr lang="en-IN" sz="1100"/>
        </a:p>
      </xdr:txBody>
    </xdr:sp>
    <xdr:clientData/>
  </xdr:twoCellAnchor>
  <xdr:twoCellAnchor>
    <xdr:from>
      <xdr:col>2</xdr:col>
      <xdr:colOff>640337</xdr:colOff>
      <xdr:row>1</xdr:row>
      <xdr:rowOff>6402</xdr:rowOff>
    </xdr:from>
    <xdr:to>
      <xdr:col>4</xdr:col>
      <xdr:colOff>147277</xdr:colOff>
      <xdr:row>2</xdr:row>
      <xdr:rowOff>25614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488C7B6-3D0B-9948-B60C-46F928CEEC28}"/>
            </a:ext>
          </a:extLst>
        </xdr:cNvPr>
        <xdr:cNvSpPr txBox="1"/>
      </xdr:nvSpPr>
      <xdr:spPr>
        <a:xfrm>
          <a:off x="1972236" y="204907"/>
          <a:ext cx="1184621" cy="217715"/>
        </a:xfrm>
        <a:prstGeom prst="rect">
          <a:avLst/>
        </a:prstGeom>
        <a:solidFill>
          <a:schemeClr val="accent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solidFill>
                <a:schemeClr val="bg1"/>
              </a:solidFill>
            </a:rPr>
            <a:t>Average</a:t>
          </a:r>
          <a:r>
            <a:rPr lang="en-IN" sz="1200" b="1" baseline="0">
              <a:solidFill>
                <a:schemeClr val="bg1"/>
              </a:solidFill>
            </a:rPr>
            <a:t> Salary</a:t>
          </a:r>
          <a:endParaRPr lang="en-IN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672354</xdr:colOff>
      <xdr:row>2</xdr:row>
      <xdr:rowOff>115261</xdr:rowOff>
    </xdr:from>
    <xdr:to>
      <xdr:col>4</xdr:col>
      <xdr:colOff>115261</xdr:colOff>
      <xdr:row>4</xdr:row>
      <xdr:rowOff>1</xdr:rowOff>
    </xdr:to>
    <xdr:sp macro="" textlink="$D$5">
      <xdr:nvSpPr>
        <xdr:cNvPr id="12" name="TextBox 11">
          <a:extLst>
            <a:ext uri="{FF2B5EF4-FFF2-40B4-BE49-F238E27FC236}">
              <a16:creationId xmlns:a16="http://schemas.microsoft.com/office/drawing/2014/main" id="{B9EA9328-4BC2-6808-D555-AA4DCD11F238}"/>
            </a:ext>
          </a:extLst>
        </xdr:cNvPr>
        <xdr:cNvSpPr txBox="1"/>
      </xdr:nvSpPr>
      <xdr:spPr>
        <a:xfrm>
          <a:off x="2004253" y="512269"/>
          <a:ext cx="1120588" cy="2817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7F30D03-D151-4C6F-9833-35F7AC549E6D}" type="TxLink">
            <a:rPr lang="en-US" sz="1200" b="0" i="0" u="none" strike="noStrike">
              <a:solidFill>
                <a:srgbClr val="000000"/>
              </a:solidFill>
              <a:latin typeface="Aptos Narrow"/>
            </a:rPr>
            <a:pPr algn="ctr"/>
            <a:t> 31,350 </a:t>
          </a:fld>
          <a:endParaRPr lang="en-IN" sz="1100"/>
        </a:p>
      </xdr:txBody>
    </xdr:sp>
    <xdr:clientData/>
  </xdr:twoCellAnchor>
  <xdr:twoCellAnchor>
    <xdr:from>
      <xdr:col>4</xdr:col>
      <xdr:colOff>352185</xdr:colOff>
      <xdr:row>1</xdr:row>
      <xdr:rowOff>25613</xdr:rowOff>
    </xdr:from>
    <xdr:to>
      <xdr:col>5</xdr:col>
      <xdr:colOff>518672</xdr:colOff>
      <xdr:row>2</xdr:row>
      <xdr:rowOff>89647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9D98C46C-9A4A-8220-0291-A4111A50D7C2}"/>
            </a:ext>
          </a:extLst>
        </xdr:cNvPr>
        <xdr:cNvSpPr txBox="1"/>
      </xdr:nvSpPr>
      <xdr:spPr>
        <a:xfrm>
          <a:off x="3361765" y="224118"/>
          <a:ext cx="1107781" cy="2625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200" b="1">
              <a:solidFill>
                <a:schemeClr val="bg1"/>
              </a:solidFill>
            </a:rPr>
            <a:t>Average Age</a:t>
          </a:r>
        </a:p>
      </xdr:txBody>
    </xdr:sp>
    <xdr:clientData/>
  </xdr:twoCellAnchor>
  <xdr:twoCellAnchor>
    <xdr:from>
      <xdr:col>4</xdr:col>
      <xdr:colOff>371395</xdr:colOff>
      <xdr:row>2</xdr:row>
      <xdr:rowOff>140875</xdr:rowOff>
    </xdr:from>
    <xdr:to>
      <xdr:col>5</xdr:col>
      <xdr:colOff>512269</xdr:colOff>
      <xdr:row>4</xdr:row>
      <xdr:rowOff>6405</xdr:rowOff>
    </xdr:to>
    <xdr:sp macro="" textlink="$F$5">
      <xdr:nvSpPr>
        <xdr:cNvPr id="14" name="TextBox 13">
          <a:extLst>
            <a:ext uri="{FF2B5EF4-FFF2-40B4-BE49-F238E27FC236}">
              <a16:creationId xmlns:a16="http://schemas.microsoft.com/office/drawing/2014/main" id="{86DD1233-BC5F-720F-7514-A1842C137B63}"/>
            </a:ext>
          </a:extLst>
        </xdr:cNvPr>
        <xdr:cNvSpPr txBox="1"/>
      </xdr:nvSpPr>
      <xdr:spPr>
        <a:xfrm>
          <a:off x="3380975" y="537883"/>
          <a:ext cx="1082168" cy="2625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BB3EC0C-43FB-4603-B76E-ACF94CF0AE36}" type="TxLink">
            <a:rPr lang="en-US" sz="1200" b="0" i="0" u="none" strike="noStrike">
              <a:solidFill>
                <a:srgbClr val="000000"/>
              </a:solidFill>
              <a:latin typeface="Aptos Narrow"/>
            </a:rPr>
            <a:pPr algn="ctr"/>
            <a:t>36</a:t>
          </a:fld>
          <a:endParaRPr lang="en-IN" sz="1100"/>
        </a:p>
      </xdr:txBody>
    </xdr:sp>
    <xdr:clientData/>
  </xdr:twoCellAnchor>
  <xdr:twoCellAnchor>
    <xdr:from>
      <xdr:col>5</xdr:col>
      <xdr:colOff>768402</xdr:colOff>
      <xdr:row>1</xdr:row>
      <xdr:rowOff>38420</xdr:rowOff>
    </xdr:from>
    <xdr:to>
      <xdr:col>7</xdr:col>
      <xdr:colOff>230520</xdr:colOff>
      <xdr:row>2</xdr:row>
      <xdr:rowOff>128068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64F3D36B-C8F6-CCBC-1619-038189100B3A}"/>
            </a:ext>
          </a:extLst>
        </xdr:cNvPr>
        <xdr:cNvSpPr txBox="1"/>
      </xdr:nvSpPr>
      <xdr:spPr>
        <a:xfrm>
          <a:off x="4719276" y="236925"/>
          <a:ext cx="1114185" cy="288151"/>
        </a:xfrm>
        <a:prstGeom prst="rect">
          <a:avLst/>
        </a:prstGeom>
        <a:solidFill>
          <a:schemeClr val="accent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solidFill>
                <a:schemeClr val="bg1"/>
              </a:solidFill>
            </a:rPr>
            <a:t>Female Count</a:t>
          </a:r>
        </a:p>
      </xdr:txBody>
    </xdr:sp>
    <xdr:clientData/>
  </xdr:twoCellAnchor>
  <xdr:twoCellAnchor>
    <xdr:from>
      <xdr:col>5</xdr:col>
      <xdr:colOff>794017</xdr:colOff>
      <xdr:row>2</xdr:row>
      <xdr:rowOff>121664</xdr:rowOff>
    </xdr:from>
    <xdr:to>
      <xdr:col>7</xdr:col>
      <xdr:colOff>198504</xdr:colOff>
      <xdr:row>4</xdr:row>
      <xdr:rowOff>1</xdr:rowOff>
    </xdr:to>
    <xdr:sp macro="" textlink="$H$5">
      <xdr:nvSpPr>
        <xdr:cNvPr id="16" name="TextBox 15">
          <a:extLst>
            <a:ext uri="{FF2B5EF4-FFF2-40B4-BE49-F238E27FC236}">
              <a16:creationId xmlns:a16="http://schemas.microsoft.com/office/drawing/2014/main" id="{C4E7BEA1-78F6-8D8D-F235-FEE95C53BF72}"/>
            </a:ext>
          </a:extLst>
        </xdr:cNvPr>
        <xdr:cNvSpPr txBox="1"/>
      </xdr:nvSpPr>
      <xdr:spPr>
        <a:xfrm>
          <a:off x="4744891" y="518672"/>
          <a:ext cx="1056554" cy="2753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E36B3AF-D8DC-4553-968B-372137E08936}" type="TxLink">
            <a:rPr lang="en-US" sz="1200" b="0" i="0" u="none" strike="noStrike">
              <a:solidFill>
                <a:srgbClr val="000000"/>
              </a:solidFill>
              <a:latin typeface="Aptos Narrow"/>
            </a:rPr>
            <a:pPr algn="ctr"/>
            <a:t>4</a:t>
          </a:fld>
          <a:endParaRPr lang="en-IN" sz="1100"/>
        </a:p>
      </xdr:txBody>
    </xdr:sp>
    <xdr:clientData/>
  </xdr:twoCellAnchor>
  <xdr:twoCellAnchor>
    <xdr:from>
      <xdr:col>7</xdr:col>
      <xdr:colOff>557093</xdr:colOff>
      <xdr:row>0</xdr:row>
      <xdr:rowOff>198504</xdr:rowOff>
    </xdr:from>
    <xdr:to>
      <xdr:col>8</xdr:col>
      <xdr:colOff>787613</xdr:colOff>
      <xdr:row>2</xdr:row>
      <xdr:rowOff>76841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F7700B8-D188-304B-88F6-A4D7681FB9DD}"/>
            </a:ext>
          </a:extLst>
        </xdr:cNvPr>
        <xdr:cNvSpPr txBox="1"/>
      </xdr:nvSpPr>
      <xdr:spPr>
        <a:xfrm>
          <a:off x="6160034" y="198504"/>
          <a:ext cx="1056554" cy="275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>
              <a:solidFill>
                <a:schemeClr val="bg1"/>
              </a:solidFill>
            </a:rPr>
            <a:t>Intern Count</a:t>
          </a:r>
        </a:p>
      </xdr:txBody>
    </xdr:sp>
    <xdr:clientData/>
  </xdr:twoCellAnchor>
  <xdr:twoCellAnchor>
    <xdr:from>
      <xdr:col>7</xdr:col>
      <xdr:colOff>550689</xdr:colOff>
      <xdr:row>2</xdr:row>
      <xdr:rowOff>102454</xdr:rowOff>
    </xdr:from>
    <xdr:to>
      <xdr:col>8</xdr:col>
      <xdr:colOff>787613</xdr:colOff>
      <xdr:row>3</xdr:row>
      <xdr:rowOff>192100</xdr:rowOff>
    </xdr:to>
    <xdr:sp macro="" textlink="$I$5">
      <xdr:nvSpPr>
        <xdr:cNvPr id="18" name="TextBox 17">
          <a:extLst>
            <a:ext uri="{FF2B5EF4-FFF2-40B4-BE49-F238E27FC236}">
              <a16:creationId xmlns:a16="http://schemas.microsoft.com/office/drawing/2014/main" id="{13FD0496-F566-FA4F-857A-649B581D37C8}"/>
            </a:ext>
          </a:extLst>
        </xdr:cNvPr>
        <xdr:cNvSpPr txBox="1"/>
      </xdr:nvSpPr>
      <xdr:spPr>
        <a:xfrm>
          <a:off x="6153630" y="499462"/>
          <a:ext cx="1062958" cy="2881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7DC6AE9-E43C-443B-A615-C1D8862A930B}" type="TxLink">
            <a:rPr lang="en-US" sz="12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n-IN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9808CB-AE1A-3644-AF65-86CBCECBC8A0}" name="Table1" displayName="Table1" ref="B7:I17" totalsRowShown="0" headerRowDxfId="1">
  <autoFilter ref="B7:I17" xr:uid="{879808CB-AE1A-3644-AF65-86CBCECBC8A0}"/>
  <tableColumns count="8">
    <tableColumn id="1" xr3:uid="{8B37FCA9-67DB-C64E-9BCA-B91911238757}" name="First Name"/>
    <tableColumn id="2" xr3:uid="{5079E109-4479-1844-9FE2-FD8D6FBE02BB}" name="Last Name"/>
    <tableColumn id="3" xr3:uid="{7D473C79-1058-FA4D-978C-00BB906840C5}" name="Email"/>
    <tableColumn id="4" xr3:uid="{9B5A3189-FD48-9640-8A75-8C8D6C509563}" name="DOB" dataDxfId="0"/>
    <tableColumn id="5" xr3:uid="{D1B97A67-8D6D-DE4A-B939-593B1FDD3769}" name="Department"/>
    <tableColumn id="6" xr3:uid="{4CE94870-0D7C-0543-8544-E4C556C72FF8}" name="Role"/>
    <tableColumn id="7" xr3:uid="{0ED1EBA9-FD96-B34F-8D62-1C2A40A64AA1}" name="Gender"/>
    <tableColumn id="8" xr3:uid="{6BD70D75-EA04-1146-8E79-810EECBF001C}" name="Annual Salary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1FCAA-6B58-DE42-BE0D-DF5AC31224C8}">
  <sheetPr codeName="Sheet1"/>
  <dimension ref="B2:H26"/>
  <sheetViews>
    <sheetView showGridLines="0" zoomScale="80" workbookViewId="0"/>
  </sheetViews>
  <sheetFormatPr defaultColWidth="10.85546875" defaultRowHeight="15.9" x14ac:dyDescent="0.45"/>
  <cols>
    <col min="2" max="2" width="2.5" customWidth="1"/>
    <col min="3" max="3" width="15.35546875" customWidth="1"/>
    <col min="4" max="4" width="16.85546875" bestFit="1" customWidth="1"/>
    <col min="5" max="5" width="5.140625" customWidth="1"/>
    <col min="8" max="8" width="4.35546875" customWidth="1"/>
  </cols>
  <sheetData>
    <row r="2" spans="2:8" x14ac:dyDescent="0.45">
      <c r="B2" s="8"/>
      <c r="C2" s="9"/>
      <c r="D2" s="9"/>
      <c r="E2" s="9"/>
      <c r="F2" s="9"/>
      <c r="G2" s="9"/>
      <c r="H2" s="10"/>
    </row>
    <row r="3" spans="2:8" ht="34.75" x14ac:dyDescent="0.95">
      <c r="B3" s="18" t="s">
        <v>42</v>
      </c>
      <c r="C3" s="14"/>
      <c r="D3" s="12"/>
      <c r="E3" s="12"/>
      <c r="F3" s="12"/>
      <c r="G3" s="12"/>
      <c r="H3" s="13"/>
    </row>
    <row r="4" spans="2:8" x14ac:dyDescent="0.45">
      <c r="B4" s="11"/>
      <c r="C4" s="12"/>
      <c r="D4" s="12"/>
      <c r="E4" s="12"/>
      <c r="F4" s="12"/>
      <c r="G4" s="12"/>
      <c r="H4" s="13"/>
    </row>
    <row r="5" spans="2:8" x14ac:dyDescent="0.45">
      <c r="B5" s="1"/>
      <c r="C5" s="2"/>
      <c r="D5" s="2"/>
      <c r="E5" s="2"/>
      <c r="F5" s="2"/>
      <c r="G5" s="2"/>
      <c r="H5" s="3"/>
    </row>
    <row r="6" spans="2:8" x14ac:dyDescent="0.45">
      <c r="B6" s="1"/>
      <c r="C6" s="4" t="s">
        <v>27</v>
      </c>
      <c r="D6" s="21"/>
      <c r="E6" s="2"/>
      <c r="F6" s="4" t="s">
        <v>30</v>
      </c>
      <c r="G6" s="21"/>
      <c r="H6" s="3"/>
    </row>
    <row r="7" spans="2:8" x14ac:dyDescent="0.45">
      <c r="B7" s="1"/>
      <c r="C7" s="4"/>
      <c r="D7" s="22"/>
      <c r="E7" s="2"/>
      <c r="F7" s="4"/>
      <c r="G7" s="22"/>
      <c r="H7" s="3"/>
    </row>
    <row r="8" spans="2:8" x14ac:dyDescent="0.45">
      <c r="B8" s="1"/>
      <c r="C8" s="4" t="s">
        <v>28</v>
      </c>
      <c r="D8" s="21"/>
      <c r="E8" s="2"/>
      <c r="F8" s="4" t="s">
        <v>31</v>
      </c>
      <c r="G8" s="21"/>
      <c r="H8" s="3"/>
    </row>
    <row r="9" spans="2:8" x14ac:dyDescent="0.45">
      <c r="B9" s="1"/>
      <c r="C9" s="4"/>
      <c r="D9" s="22"/>
      <c r="E9" s="2"/>
      <c r="F9" s="4"/>
      <c r="G9" s="22"/>
      <c r="H9" s="3"/>
    </row>
    <row r="10" spans="2:8" x14ac:dyDescent="0.45">
      <c r="B10" s="1"/>
      <c r="C10" s="4" t="s">
        <v>29</v>
      </c>
      <c r="D10" s="28"/>
      <c r="E10" s="2"/>
      <c r="F10" s="4" t="s">
        <v>32</v>
      </c>
      <c r="G10" s="21"/>
      <c r="H10" s="3"/>
    </row>
    <row r="11" spans="2:8" x14ac:dyDescent="0.45">
      <c r="B11" s="1"/>
      <c r="C11" s="4"/>
      <c r="D11" s="22"/>
      <c r="E11" s="2"/>
      <c r="F11" s="4"/>
      <c r="G11" s="22"/>
      <c r="H11" s="3"/>
    </row>
    <row r="12" spans="2:8" x14ac:dyDescent="0.45">
      <c r="B12" s="1"/>
      <c r="C12" s="4" t="s">
        <v>40</v>
      </c>
      <c r="D12" s="26"/>
      <c r="E12" s="2"/>
      <c r="F12" s="4" t="s">
        <v>39</v>
      </c>
      <c r="G12" s="27"/>
      <c r="H12" s="3"/>
    </row>
    <row r="13" spans="2:8" x14ac:dyDescent="0.45">
      <c r="B13" s="1"/>
      <c r="C13" s="2"/>
      <c r="D13" s="2"/>
      <c r="E13" s="2"/>
      <c r="F13" s="2"/>
      <c r="G13" s="7"/>
      <c r="H13" s="3"/>
    </row>
    <row r="14" spans="2:8" x14ac:dyDescent="0.45">
      <c r="B14" s="1"/>
      <c r="C14" s="2"/>
      <c r="D14" s="2"/>
      <c r="E14" s="2"/>
      <c r="F14" s="2"/>
      <c r="G14" s="2"/>
      <c r="H14" s="3"/>
    </row>
    <row r="15" spans="2:8" x14ac:dyDescent="0.45">
      <c r="B15" s="1"/>
      <c r="C15" s="2"/>
      <c r="D15" s="2"/>
      <c r="E15" s="2"/>
      <c r="F15" s="2"/>
      <c r="G15" s="2"/>
      <c r="H15" s="3"/>
    </row>
    <row r="16" spans="2:8" x14ac:dyDescent="0.45">
      <c r="B16" s="1"/>
      <c r="C16" s="2"/>
      <c r="D16" s="2"/>
      <c r="E16" s="2"/>
      <c r="F16" s="2"/>
      <c r="G16" s="2"/>
      <c r="H16" s="3"/>
    </row>
    <row r="17" spans="2:8" ht="10" customHeight="1" x14ac:dyDescent="0.45">
      <c r="B17" s="5"/>
      <c r="C17" s="31"/>
      <c r="D17" s="31"/>
      <c r="E17" s="31"/>
      <c r="F17" s="31"/>
      <c r="G17" s="31"/>
      <c r="H17" s="6"/>
    </row>
    <row r="19" spans="2:8" x14ac:dyDescent="0.45">
      <c r="D19" t="str">
        <f>C6</f>
        <v>First Name:</v>
      </c>
      <c r="E19">
        <f>D6</f>
        <v>0</v>
      </c>
    </row>
    <row r="20" spans="2:8" x14ac:dyDescent="0.45">
      <c r="D20" t="str">
        <f>C8</f>
        <v>Last Name:</v>
      </c>
      <c r="E20">
        <f>D8</f>
        <v>0</v>
      </c>
    </row>
    <row r="21" spans="2:8" x14ac:dyDescent="0.45">
      <c r="D21" t="str">
        <f>C10</f>
        <v>Email:</v>
      </c>
      <c r="E21">
        <f>D10</f>
        <v>0</v>
      </c>
    </row>
    <row r="22" spans="2:8" x14ac:dyDescent="0.45">
      <c r="D22" t="str">
        <f>C12</f>
        <v>DOB (DD-MM-YY):</v>
      </c>
      <c r="E22" s="16">
        <f>D12</f>
        <v>0</v>
      </c>
    </row>
    <row r="23" spans="2:8" x14ac:dyDescent="0.45">
      <c r="D23" t="str">
        <f>F6</f>
        <v>Department:</v>
      </c>
      <c r="E23" s="16">
        <f>G6</f>
        <v>0</v>
      </c>
    </row>
    <row r="24" spans="2:8" x14ac:dyDescent="0.45">
      <c r="D24" t="str">
        <f>F8</f>
        <v>Role:</v>
      </c>
      <c r="E24">
        <f>G8</f>
        <v>0</v>
      </c>
    </row>
    <row r="25" spans="2:8" x14ac:dyDescent="0.45">
      <c r="D25" t="str">
        <f>F10</f>
        <v>Gender:</v>
      </c>
      <c r="E25">
        <f>G10</f>
        <v>0</v>
      </c>
    </row>
    <row r="26" spans="2:8" x14ac:dyDescent="0.45">
      <c r="D26" t="str">
        <f>F12</f>
        <v>Annual Salary:</v>
      </c>
      <c r="E26" s="17">
        <f>G12</f>
        <v>0</v>
      </c>
    </row>
  </sheetData>
  <mergeCells count="1">
    <mergeCell ref="C17:G17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3771A4-9D70-462D-AB22-45BCC5393C4E}">
          <x14:formula1>
            <xm:f>Data!$B$2:$E$2</xm:f>
          </x14:formula1>
          <xm:sqref>G6</xm:sqref>
        </x14:dataValidation>
        <x14:dataValidation type="list" allowBlank="1" showInputMessage="1" showErrorMessage="1" xr:uid="{2EF49E3C-6BA1-4DF8-9FE1-E70983FFC65F}">
          <x14:formula1>
            <xm:f>Data!$K$3:$K$5</xm:f>
          </x14:formula1>
          <xm:sqref>G10</xm:sqref>
        </x14:dataValidation>
        <x14:dataValidation type="list" allowBlank="1" showInputMessage="1" showErrorMessage="1" xr:uid="{5E514F88-E535-4E3A-A1AA-C5D9432A5FFF}">
          <x14:formula1>
            <xm:f>_xlfn.XLOOKUP(G6,Data!B2:E2,Data!B3:E7,"")</xm:f>
          </x14:formula1>
          <xm:sqref>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1EF64-9F5B-204F-92FA-F67B9D3AB679}">
  <sheetPr codeName="Sheet2"/>
  <dimension ref="B5:I17"/>
  <sheetViews>
    <sheetView showGridLines="0" tabSelected="1" zoomScale="85" zoomScaleNormal="85" workbookViewId="0">
      <selection activeCell="E29" sqref="E29"/>
    </sheetView>
  </sheetViews>
  <sheetFormatPr defaultColWidth="10.85546875" defaultRowHeight="15.9" x14ac:dyDescent="0.45"/>
  <cols>
    <col min="1" max="1" width="6" customWidth="1"/>
    <col min="2" max="2" width="11.5" customWidth="1"/>
    <col min="3" max="3" width="11.140625" customWidth="1"/>
    <col min="5" max="5" width="12.35546875" customWidth="1"/>
  </cols>
  <sheetData>
    <row r="5" spans="2:9" x14ac:dyDescent="0.45">
      <c r="B5" s="23">
        <f>COUNTA(Table1[First Name])</f>
        <v>10</v>
      </c>
      <c r="C5" s="23"/>
      <c r="D5" s="24">
        <f>AVERAGE(Table1[Annual Salary])</f>
        <v>31350</v>
      </c>
      <c r="E5" s="25">
        <f ca="1">DATEDIF(AVERAGE(Table1[DOB]),TODAY(),"Y")</f>
        <v>36</v>
      </c>
      <c r="F5" s="23">
        <f ca="1">DATEDIF(AVERAGE(Table1[DOB]),TODAY(),"Y")</f>
        <v>36</v>
      </c>
      <c r="G5" s="23">
        <f>COUNTIF(Table1[Gender],"Female")</f>
        <v>4</v>
      </c>
      <c r="H5" s="23">
        <f>COUNTIF(Table1[Gender],"Female")</f>
        <v>4</v>
      </c>
      <c r="I5" s="23">
        <f>COUNTIF(Table1[Role],"Intern")</f>
        <v>0</v>
      </c>
    </row>
    <row r="6" spans="2:9" ht="12" customHeight="1" x14ac:dyDescent="0.45"/>
    <row r="7" spans="2:9" x14ac:dyDescent="0.45">
      <c r="B7" s="15" t="s">
        <v>0</v>
      </c>
      <c r="C7" s="15" t="s">
        <v>1</v>
      </c>
      <c r="D7" s="15" t="s">
        <v>3</v>
      </c>
      <c r="E7" s="20" t="s">
        <v>2</v>
      </c>
      <c r="F7" s="20" t="s">
        <v>4</v>
      </c>
      <c r="G7" s="20" t="s">
        <v>5</v>
      </c>
      <c r="H7" s="20" t="s">
        <v>6</v>
      </c>
      <c r="I7" s="20" t="s">
        <v>41</v>
      </c>
    </row>
    <row r="8" spans="2:9" x14ac:dyDescent="0.45">
      <c r="B8" t="s">
        <v>61</v>
      </c>
      <c r="C8" t="s">
        <v>62</v>
      </c>
      <c r="D8" t="s">
        <v>63</v>
      </c>
      <c r="E8" s="16">
        <v>36625</v>
      </c>
      <c r="F8" t="s">
        <v>10</v>
      </c>
      <c r="G8" s="19" t="s">
        <v>20</v>
      </c>
      <c r="H8" t="s">
        <v>34</v>
      </c>
      <c r="I8" s="19">
        <v>40000</v>
      </c>
    </row>
    <row r="9" spans="2:9" x14ac:dyDescent="0.45">
      <c r="B9" t="s">
        <v>58</v>
      </c>
      <c r="C9" t="s">
        <v>59</v>
      </c>
      <c r="D9" t="s">
        <v>60</v>
      </c>
      <c r="E9" s="16">
        <v>38512</v>
      </c>
      <c r="F9" t="s">
        <v>11</v>
      </c>
      <c r="G9" s="19" t="s">
        <v>26</v>
      </c>
      <c r="H9" t="s">
        <v>33</v>
      </c>
      <c r="I9" s="19">
        <v>80000</v>
      </c>
    </row>
    <row r="10" spans="2:9" x14ac:dyDescent="0.45">
      <c r="B10" t="s">
        <v>56</v>
      </c>
      <c r="C10" t="s">
        <v>54</v>
      </c>
      <c r="D10" t="s">
        <v>57</v>
      </c>
      <c r="E10" s="16">
        <v>38907</v>
      </c>
      <c r="F10" t="s">
        <v>12</v>
      </c>
      <c r="G10" s="19" t="s">
        <v>22</v>
      </c>
      <c r="H10" t="s">
        <v>34</v>
      </c>
      <c r="I10" s="19">
        <v>70000</v>
      </c>
    </row>
    <row r="11" spans="2:9" x14ac:dyDescent="0.45">
      <c r="B11">
        <v>0</v>
      </c>
      <c r="C11">
        <v>0</v>
      </c>
      <c r="D11">
        <v>0</v>
      </c>
      <c r="E11" s="16">
        <v>0</v>
      </c>
      <c r="F11">
        <v>0</v>
      </c>
      <c r="G11" s="19">
        <v>0</v>
      </c>
      <c r="H11">
        <v>0</v>
      </c>
      <c r="I11" s="19">
        <v>0</v>
      </c>
    </row>
    <row r="12" spans="2:9" x14ac:dyDescent="0.45">
      <c r="B12" t="s">
        <v>53</v>
      </c>
      <c r="C12" t="s">
        <v>54</v>
      </c>
      <c r="D12" t="s">
        <v>55</v>
      </c>
      <c r="E12" s="16">
        <v>38534</v>
      </c>
      <c r="F12" t="s">
        <v>13</v>
      </c>
      <c r="G12" s="19" t="s">
        <v>14</v>
      </c>
      <c r="H12" t="s">
        <v>34</v>
      </c>
      <c r="I12" s="19">
        <v>50000</v>
      </c>
    </row>
    <row r="13" spans="2:9" x14ac:dyDescent="0.45">
      <c r="B13" t="s">
        <v>50</v>
      </c>
      <c r="C13" t="s">
        <v>51</v>
      </c>
      <c r="D13" t="s">
        <v>52</v>
      </c>
      <c r="E13" s="29">
        <v>38384</v>
      </c>
      <c r="F13" t="s">
        <v>11</v>
      </c>
      <c r="G13" s="19"/>
      <c r="H13" t="s">
        <v>33</v>
      </c>
      <c r="I13" s="30">
        <v>12000</v>
      </c>
    </row>
    <row r="14" spans="2:9" x14ac:dyDescent="0.45">
      <c r="B14" t="s">
        <v>47</v>
      </c>
      <c r="C14" t="s">
        <v>48</v>
      </c>
      <c r="D14" t="s">
        <v>49</v>
      </c>
      <c r="E14" s="29">
        <v>38238</v>
      </c>
      <c r="F14" t="s">
        <v>10</v>
      </c>
      <c r="G14" s="19"/>
      <c r="H14" t="s">
        <v>33</v>
      </c>
      <c r="I14" s="30">
        <v>12000</v>
      </c>
    </row>
    <row r="15" spans="2:9" x14ac:dyDescent="0.45">
      <c r="B15" t="s">
        <v>43</v>
      </c>
      <c r="C15" t="s">
        <v>44</v>
      </c>
      <c r="D15" t="s">
        <v>45</v>
      </c>
      <c r="E15" s="29" t="s">
        <v>46</v>
      </c>
      <c r="F15" t="s">
        <v>13</v>
      </c>
      <c r="G15" s="19" t="s">
        <v>20</v>
      </c>
      <c r="H15" t="s">
        <v>33</v>
      </c>
      <c r="I15" s="30">
        <v>12000</v>
      </c>
    </row>
    <row r="16" spans="2:9" x14ac:dyDescent="0.45">
      <c r="B16" t="s">
        <v>7</v>
      </c>
      <c r="C16" t="s">
        <v>8</v>
      </c>
      <c r="D16" t="s">
        <v>9</v>
      </c>
      <c r="E16" s="16">
        <v>33166</v>
      </c>
      <c r="F16" t="s">
        <v>11</v>
      </c>
      <c r="G16" t="s">
        <v>25</v>
      </c>
      <c r="H16" t="s">
        <v>33</v>
      </c>
      <c r="I16" s="17">
        <v>25000</v>
      </c>
    </row>
    <row r="17" spans="2:9" x14ac:dyDescent="0.45">
      <c r="B17" t="s">
        <v>36</v>
      </c>
      <c r="C17" t="s">
        <v>37</v>
      </c>
      <c r="D17" t="s">
        <v>38</v>
      </c>
      <c r="E17" s="16">
        <v>30906</v>
      </c>
      <c r="F17" t="s">
        <v>12</v>
      </c>
      <c r="G17" t="s">
        <v>19</v>
      </c>
      <c r="H17" t="s">
        <v>34</v>
      </c>
      <c r="I17" s="17">
        <v>12500</v>
      </c>
    </row>
  </sheetData>
  <dataValidations count="1">
    <dataValidation type="list" allowBlank="1" showInputMessage="1" showErrorMessage="1" sqref="B8:B15" xr:uid="{04757CB6-3F99-42A7-B115-767DB0D2A4BE}">
      <formula1>$B$2:$E$2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BA7D0-27F8-AC42-8647-DB8E1B4F3200}">
  <sheetPr codeName="Sheet3"/>
  <dimension ref="B2:K22"/>
  <sheetViews>
    <sheetView zoomScale="125" workbookViewId="0">
      <selection activeCell="B10" sqref="B10:I10"/>
    </sheetView>
  </sheetViews>
  <sheetFormatPr defaultColWidth="10.85546875" defaultRowHeight="15.9" x14ac:dyDescent="0.45"/>
  <cols>
    <col min="2" max="2" width="9.2109375" customWidth="1"/>
    <col min="3" max="3" width="9.42578125" customWidth="1"/>
    <col min="4" max="4" width="19.2109375" customWidth="1"/>
    <col min="5" max="5" width="10.7109375" customWidth="1"/>
    <col min="6" max="6" width="8.42578125" customWidth="1"/>
    <col min="7" max="7" width="9.2109375" style="19" customWidth="1"/>
    <col min="8" max="8" width="5.28515625" customWidth="1"/>
    <col min="9" max="9" width="7.2109375" customWidth="1"/>
  </cols>
  <sheetData>
    <row r="2" spans="2:11" x14ac:dyDescent="0.45">
      <c r="B2" s="15" t="s">
        <v>10</v>
      </c>
      <c r="C2" s="15" t="s">
        <v>11</v>
      </c>
      <c r="D2" s="15" t="s">
        <v>12</v>
      </c>
      <c r="E2" s="15" t="s">
        <v>13</v>
      </c>
      <c r="F2" s="15"/>
      <c r="H2" s="15"/>
      <c r="I2" s="19"/>
      <c r="K2" s="15" t="s">
        <v>6</v>
      </c>
    </row>
    <row r="3" spans="2:11" x14ac:dyDescent="0.45">
      <c r="B3" t="s">
        <v>19</v>
      </c>
      <c r="C3" t="s">
        <v>26</v>
      </c>
      <c r="D3" t="s">
        <v>26</v>
      </c>
      <c r="E3" s="19" t="s">
        <v>14</v>
      </c>
      <c r="F3" s="19"/>
      <c r="H3" s="19"/>
      <c r="I3" s="19"/>
      <c r="K3" s="19" t="s">
        <v>33</v>
      </c>
    </row>
    <row r="4" spans="2:11" x14ac:dyDescent="0.45">
      <c r="B4" t="s">
        <v>20</v>
      </c>
      <c r="C4" t="s">
        <v>19</v>
      </c>
      <c r="D4" t="s">
        <v>19</v>
      </c>
      <c r="E4" s="19" t="s">
        <v>15</v>
      </c>
      <c r="F4" s="19"/>
      <c r="H4" s="19"/>
      <c r="I4" s="19"/>
      <c r="K4" s="19" t="s">
        <v>34</v>
      </c>
    </row>
    <row r="5" spans="2:11" x14ac:dyDescent="0.45">
      <c r="B5" t="s">
        <v>21</v>
      </c>
      <c r="C5" t="s">
        <v>20</v>
      </c>
      <c r="D5" t="s">
        <v>21</v>
      </c>
      <c r="E5" s="19" t="s">
        <v>16</v>
      </c>
      <c r="F5" s="19"/>
      <c r="H5" s="19"/>
      <c r="I5" s="19"/>
      <c r="K5" s="19" t="s">
        <v>35</v>
      </c>
    </row>
    <row r="6" spans="2:11" x14ac:dyDescent="0.45">
      <c r="B6" t="s">
        <v>22</v>
      </c>
      <c r="C6" t="s">
        <v>24</v>
      </c>
      <c r="D6" t="s">
        <v>22</v>
      </c>
      <c r="E6" s="19" t="s">
        <v>17</v>
      </c>
      <c r="F6" s="19"/>
      <c r="H6" s="19"/>
      <c r="I6" s="19"/>
      <c r="K6" s="19"/>
    </row>
    <row r="7" spans="2:11" x14ac:dyDescent="0.45">
      <c r="B7" t="s">
        <v>23</v>
      </c>
      <c r="C7" t="s">
        <v>25</v>
      </c>
      <c r="D7" t="s">
        <v>23</v>
      </c>
      <c r="E7" s="19" t="s">
        <v>18</v>
      </c>
      <c r="F7" s="19"/>
      <c r="H7" s="19"/>
      <c r="I7" s="19"/>
      <c r="K7" s="19"/>
    </row>
    <row r="8" spans="2:11" x14ac:dyDescent="0.45">
      <c r="G8" s="15"/>
      <c r="H8" s="15"/>
      <c r="I8" s="19"/>
    </row>
    <row r="9" spans="2:11" x14ac:dyDescent="0.45">
      <c r="H9" s="19"/>
      <c r="I9" s="19"/>
    </row>
    <row r="10" spans="2:11" x14ac:dyDescent="0.45">
      <c r="B10" t="s">
        <v>61</v>
      </c>
      <c r="C10" t="s">
        <v>62</v>
      </c>
      <c r="D10" t="s">
        <v>63</v>
      </c>
      <c r="E10" s="16">
        <v>36625</v>
      </c>
      <c r="F10" t="s">
        <v>10</v>
      </c>
      <c r="G10" s="19" t="s">
        <v>20</v>
      </c>
      <c r="H10" t="s">
        <v>34</v>
      </c>
      <c r="I10" s="19">
        <v>40000</v>
      </c>
    </row>
    <row r="14" spans="2:11" x14ac:dyDescent="0.45">
      <c r="G14"/>
    </row>
    <row r="15" spans="2:11" x14ac:dyDescent="0.45">
      <c r="G15"/>
    </row>
    <row r="16" spans="2:11" x14ac:dyDescent="0.45">
      <c r="G16" s="19" t="s">
        <v>26</v>
      </c>
    </row>
    <row r="20" spans="7:7" x14ac:dyDescent="0.45">
      <c r="G20"/>
    </row>
    <row r="21" spans="7:7" x14ac:dyDescent="0.45">
      <c r="G21"/>
    </row>
    <row r="22" spans="7:7" x14ac:dyDescent="0.45">
      <c r="G22" s="19" t="s">
        <v>19</v>
      </c>
    </row>
  </sheetData>
  <dataValidations count="1">
    <dataValidation type="list" allowBlank="1" showInputMessage="1" showErrorMessage="1" sqref="B10" xr:uid="{CAC86F86-3FC5-4BAC-94D3-079447FD19F1}">
      <formula1>$B$2:$E$2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Dashboard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kenji farre</dc:creator>
  <cp:lastModifiedBy>Razi Kazmi</cp:lastModifiedBy>
  <dcterms:created xsi:type="dcterms:W3CDTF">2025-02-05T07:38:44Z</dcterms:created>
  <dcterms:modified xsi:type="dcterms:W3CDTF">2025-04-17T04:53:57Z</dcterms:modified>
</cp:coreProperties>
</file>